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oles" sheetId="2" state="visible" r:id="rId2"/>
    <sheet name="Lists" sheetId="3" state="hidden" r:id="rId3"/>
    <sheet name="Features &amp; Backlog" sheetId="4" state="visible" r:id="rId4"/>
    <sheet name="Summary" sheetId="5" state="visible" r:id="rId5"/>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2937"/>
      <sz val="16"/>
    </font>
    <font>
      <name val="Arial"/>
      <i val="1"/>
      <color rgb="004B5563"/>
      <sz val="11"/>
    </font>
    <font>
      <name val="Arial"/>
      <b val="1"/>
      <color rgb="002563EB"/>
      <sz val="12"/>
    </font>
    <font>
      <name val="Arial"/>
      <color rgb="00111827"/>
      <sz val="10"/>
    </font>
    <font>
      <name val="Arial"/>
      <b val="1"/>
      <color rgb="001F2937"/>
      <sz val="14"/>
    </font>
    <font>
      <name val="Arial"/>
      <i val="1"/>
      <color rgb="004B5563"/>
      <sz val="10"/>
    </font>
    <font>
      <name val="Arial"/>
      <b val="1"/>
      <color rgb="00FFFFFF"/>
      <sz val="10"/>
    </font>
    <font>
      <name val="Arial"/>
      <b val="1"/>
      <color rgb="00111827"/>
      <sz val="10"/>
    </font>
    <font>
      <name val="Arial"/>
      <b val="1"/>
      <color rgb="001F2937"/>
      <sz val="10"/>
    </font>
  </fonts>
  <fills count="3">
    <fill>
      <patternFill/>
    </fill>
    <fill>
      <patternFill patternType="gray125"/>
    </fill>
    <fill>
      <patternFill patternType="solid">
        <fgColor rgb="001F2937"/>
      </patternFill>
    </fill>
  </fills>
  <borders count="2">
    <border>
      <left/>
      <right/>
      <top/>
      <bottom/>
      <diagonal/>
    </border>
    <border>
      <bottom style="thin">
        <color rgb="009CA3A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0" pivotButton="0" quotePrefix="0" xfId="0"/>
    <xf numFmtId="0" fontId="7" fillId="2" borderId="1" applyAlignment="1" pivotButton="0" quotePrefix="0" xfId="0">
      <alignment vertical="center" wrapText="1"/>
    </xf>
    <xf numFmtId="0" fontId="4" fillId="0" borderId="0" pivotButton="0" quotePrefix="0" xfId="0"/>
    <xf numFmtId="0" fontId="8" fillId="0" borderId="0" pivotButton="0" quotePrefix="0" xfId="0"/>
    <xf numFmtId="0" fontId="9" fillId="0" borderId="0" pivotButton="0" quotePrefix="0" xfId="0"/>
    <xf numFmtId="9" fontId="8" fillId="0" borderId="0" pivotButton="0" quotePrefix="0" xfId="0"/>
  </cellXfs>
  <cellStyles count="1">
    <cellStyle name="Normal" xfId="0" builtinId="0" hidden="0"/>
  </cellStyles>
  <dxfs count="10">
    <dxf>
      <font>
        <name val="Arial"/>
        <b val="1"/>
        <color rgb="00065F46"/>
        <sz val="10"/>
      </font>
      <fill>
        <patternFill patternType="solid">
          <fgColor rgb="00D1FAE5"/>
        </patternFill>
      </fill>
    </dxf>
    <dxf>
      <font>
        <name val="Arial"/>
        <b val="1"/>
        <color rgb="001E40AF"/>
        <sz val="10"/>
      </font>
      <fill>
        <patternFill patternType="solid">
          <fgColor rgb="00DBEAFE"/>
        </patternFill>
      </fill>
    </dxf>
    <dxf>
      <font>
        <name val="Arial"/>
        <b val="1"/>
        <color rgb="003730A3"/>
        <sz val="10"/>
      </font>
      <fill>
        <patternFill patternType="solid">
          <fgColor rgb="00E0E7FF"/>
        </patternFill>
      </fill>
    </dxf>
    <dxf>
      <font>
        <name val="Arial"/>
        <b val="1"/>
        <color rgb="00374151"/>
        <sz val="10"/>
      </font>
      <fill>
        <patternFill patternType="solid">
          <fgColor rgb="00F3F4F6"/>
        </patternFill>
      </fill>
    </dxf>
    <dxf>
      <font>
        <name val="Arial"/>
        <b val="1"/>
        <color rgb="0092400E"/>
        <sz val="10"/>
      </font>
      <fill>
        <patternFill patternType="solid">
          <fgColor rgb="00FEF3C7"/>
        </patternFill>
      </fill>
    </dxf>
    <dxf>
      <font>
        <name val="Arial"/>
        <b val="1"/>
        <color rgb="009CA3AF"/>
        <sz val="10"/>
      </font>
      <fill>
        <patternFill patternType="solid">
          <fgColor rgb="00F3F4F6"/>
        </patternFill>
      </fill>
    </dxf>
    <dxf>
      <font>
        <name val="Arial"/>
        <b val="1"/>
        <color rgb="00991B1B"/>
        <sz val="10"/>
      </font>
      <fill>
        <patternFill patternType="solid">
          <fgColor rgb="00FECACA"/>
        </patternFill>
      </fill>
    </dxf>
    <dxf>
      <font>
        <name val="Arial"/>
        <b val="1"/>
        <color rgb="009A3412"/>
        <sz val="10"/>
      </font>
      <fill>
        <patternFill patternType="solid">
          <fgColor rgb="00FED7AA"/>
        </patternFill>
      </fill>
    </dxf>
    <dxf>
      <font>
        <name val="Arial"/>
        <b val="1"/>
        <color rgb="00854D0E"/>
        <sz val="10"/>
      </font>
      <fill>
        <patternFill patternType="solid">
          <fgColor rgb="00FEF9C3"/>
        </patternFill>
      </fill>
    </dxf>
    <dxf>
      <font>
        <name val="Arial"/>
        <b val="1"/>
        <color rgb="00166534"/>
        <sz val="10"/>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RolesTable" displayName="RolesTable" ref="A4:E10" headerRowCount="1">
  <autoFilter ref="A4:E10"/>
  <tableColumns count="5">
    <tableColumn id="1" name="Role Name"/>
    <tableColumn id="2" name="Description"/>
    <tableColumn id="3" name="Typically Sees / Can Do (draft)"/>
    <tableColumn id="4" name="Status"/>
    <tableColumn id="5" name="Notes"/>
  </tableColumns>
  <tableStyleInfo name="TableStyleMedium2" showRowStripes="1"/>
</table>
</file>

<file path=xl/tables/table2.xml><?xml version="1.0" encoding="utf-8"?>
<table xmlns="http://schemas.openxmlformats.org/spreadsheetml/2006/main" id="2" name="FeaturesTable" displayName="FeaturesTable" ref="A4:L31" headerRowCount="1">
  <autoFilter ref="A4:L31"/>
  <tableColumns count="12">
    <tableColumn id="1" name="ID"/>
    <tableColumn id="2" name="Feature / Idea"/>
    <tableColumn id="3" name="Description"/>
    <tableColumn id="4" name="Type"/>
    <tableColumn id="5" name="Area"/>
    <tableColumn id="6" name="Status"/>
    <tableColumn id="7" name="Priority"/>
    <tableColumn id="8" name="Visible To (Roles)"/>
    <tableColumn id="9" name="Requested By"/>
    <tableColumn id="10" name="Date Added"/>
    <tableColumn id="11" name="Date Shipped"/>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B2:B31"/>
  <sheetViews>
    <sheetView showGridLines="0" workbookViewId="0">
      <selection activeCell="A1" sqref="A1"/>
    </sheetView>
  </sheetViews>
  <sheetFormatPr baseColWidth="8" defaultRowHeight="15"/>
  <cols>
    <col width="3" customWidth="1" min="1" max="1"/>
    <col width="110" customWidth="1" min="2" max="2"/>
  </cols>
  <sheetData>
    <row r="2" ht="24" customHeight="1">
      <c r="B2" s="1" t="inlineStr">
        <is>
          <t>WIP Tracker — App Development Plan</t>
        </is>
      </c>
    </row>
    <row r="3">
      <c r="B3" s="2" t="inlineStr">
        <is>
          <t>A living backlog for the WIP Tracker project. Add ideas, set priority and rough role visibility, and hand it back periodically for implementation.</t>
        </is>
      </c>
    </row>
    <row r="5">
      <c r="B5" s="3" t="inlineStr">
        <is>
          <t>How this workbook is organized</t>
        </is>
      </c>
    </row>
    <row r="6" ht="28" customHeight="1">
      <c r="B6" s="4" t="inlineStr">
        <is>
          <t>•  Roles — define/refine who the app's users are and roughly what they should see. Not finalized yet; add rows and edit freely.</t>
        </is>
      </c>
    </row>
    <row r="7" ht="28" customHeight="1">
      <c r="B7" s="4" t="inlineStr">
        <is>
          <t>•  Features &amp; Backlog — the master list: everything built already (Status = Done) plus every idea, in priority order. This is the sheet you'll edit most.</t>
        </is>
      </c>
    </row>
    <row r="8" ht="28" customHeight="1">
      <c r="B8" s="4" t="inlineStr">
        <is>
          <t>•  Summary — auto-counting dashboard (by Status / Priority) so it's obvious what's outstanding at a glance. Updates itself as you edit the backlog.</t>
        </is>
      </c>
    </row>
    <row r="10">
      <c r="B10" s="3" t="inlineStr">
        <is>
          <t>How to use it</t>
        </is>
      </c>
    </row>
    <row r="11" ht="28" customHeight="1">
      <c r="B11" s="4" t="inlineStr">
        <is>
          <t>•  Add a new idea: go to Features &amp; Backlog, add a row at the bottom with the next ID (e.g. F028), fill in what you can — Status "Idea" and Priority are the two that matter most.</t>
        </is>
      </c>
    </row>
    <row r="12" ht="28" customHeight="1">
      <c r="B12" s="4" t="inlineStr">
        <is>
          <t>•  Priority, Status, Type and Area are dropdowns (click the cell, use the arrow). Add more Area options on the Lists sheet if a new one doesn't fit.</t>
        </is>
      </c>
    </row>
    <row r="13" ht="28" customHeight="1">
      <c r="B13" s="4" t="inlineStr">
        <is>
          <t>•  Visible To (Roles) is free text for now (e.g. "Job Coordinator, Manager") — once the Roles sheet is settled this can become a dropdown too, just say the word.</t>
        </is>
      </c>
    </row>
    <row r="14" ht="28" customHeight="1">
      <c r="B14" s="4" t="inlineStr">
        <is>
          <t>•  When you're ready for another round of work, send the file back — I'll read Status = Idea / Planned rows (Priority order), implement, then flip them to Done and fill in Date Shipped / Notes.</t>
        </is>
      </c>
    </row>
    <row r="16">
      <c r="B16" s="3" t="inlineStr">
        <is>
          <t>Priority levels</t>
        </is>
      </c>
    </row>
    <row r="17" ht="28" customHeight="1">
      <c r="B17" s="4" t="inlineStr">
        <is>
          <t>•  P0 — Critical: broken/blocking, or a hard prerequisite for going live (e.g. auth before real data).</t>
        </is>
      </c>
    </row>
    <row r="18" ht="28" customHeight="1">
      <c r="B18" s="4" t="inlineStr">
        <is>
          <t>•  P1 — High: next up, clearly valuable, no major open questions.</t>
        </is>
      </c>
    </row>
    <row r="19" ht="28" customHeight="1">
      <c r="B19" s="4" t="inlineStr">
        <is>
          <t>•  P2 — Medium: worth doing, not urgent.</t>
        </is>
      </c>
    </row>
    <row r="20" ht="28" customHeight="1">
      <c r="B20" s="4" t="inlineStr">
        <is>
          <t>•  P3 — Low: nice-to-have, fine to sit in the backlog a while.</t>
        </is>
      </c>
    </row>
    <row r="22">
      <c r="B22" s="3" t="inlineStr">
        <is>
          <t>Status values</t>
        </is>
      </c>
    </row>
    <row r="23" ht="28" customHeight="1">
      <c r="B23" s="4" t="inlineStr">
        <is>
          <t>•  Idea — captured, not yet scoped or committed to.</t>
        </is>
      </c>
    </row>
    <row r="24" ht="28" customHeight="1">
      <c r="B24" s="4" t="inlineStr">
        <is>
          <t>•  Backlog — scoped and agreed, just not started.</t>
        </is>
      </c>
    </row>
    <row r="25" ht="28" customHeight="1">
      <c r="B25" s="4" t="inlineStr">
        <is>
          <t>•  Planned — next up / actively being scoped for the next round.</t>
        </is>
      </c>
    </row>
    <row r="26" ht="28" customHeight="1">
      <c r="B26" s="4" t="inlineStr">
        <is>
          <t>•  In Progress — actively being built.</t>
        </is>
      </c>
    </row>
    <row r="27" ht="28" customHeight="1">
      <c r="B27" s="4" t="inlineStr">
        <is>
          <t>•  Done — shipped, live in the tool.</t>
        </is>
      </c>
    </row>
    <row r="28" ht="28" customHeight="1">
      <c r="B28" s="4" t="inlineStr">
        <is>
          <t>•  Won't Do — considered and deliberately dropped (keep it, don't delete — the "why not" is worth keeping).</t>
        </is>
      </c>
    </row>
    <row r="30">
      <c r="B30" s="3" t="inlineStr">
        <is>
          <t>A note on what's pre-filled</t>
        </is>
      </c>
    </row>
    <row r="31" ht="30" customHeight="1">
      <c r="B31" s="4" t="inlineStr">
        <is>
          <t>Everything currently marked Done reflects what exists in the standalone demo prototype (demo/wip-tracker-demo.html in the repo) as of this plan's creation — it hasn't been rebuilt against the real server/client yet. "Date Added" is left blank on these since they predate this plan; fill it in going forward for new items. The Idea/Backlog rows below the Done ones are carried over from the original README's "suggested next features" plus things flagged mid-build, so you have a starting point rather than a blank page — re-prioritize, reword or delete freely.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0"/>
  <sheetViews>
    <sheetView showGridLines="0" workbookViewId="0">
      <pane ySplit="4" topLeftCell="A5" activePane="bottomLeft" state="frozen"/>
      <selection pane="bottomLeft" activeCell="A1" sqref="A1"/>
    </sheetView>
  </sheetViews>
  <sheetFormatPr baseColWidth="8" defaultRowHeight="15"/>
  <cols>
    <col width="22" customWidth="1" min="1" max="1"/>
    <col width="42" customWidth="1" min="2" max="2"/>
    <col width="50" customWidth="1" min="3" max="3"/>
    <col width="14" customWidth="1" min="4" max="4"/>
    <col width="34" customWidth="1" min="5" max="5"/>
  </cols>
  <sheetData>
    <row r="1">
      <c r="A1" s="5" t="inlineStr">
        <is>
          <t>Roles</t>
        </is>
      </c>
    </row>
    <row r="2" ht="20" customHeight="1">
      <c r="A2" s="6" t="inlineStr">
        <is>
          <t>Draft, based on the roles the demo prototype already assumes. Not finalized — add, rename, split or merge as the real plan takes shape.</t>
        </is>
      </c>
    </row>
    <row r="4">
      <c r="A4" s="7" t="inlineStr">
        <is>
          <t>Role Name</t>
        </is>
      </c>
      <c r="B4" s="7" t="inlineStr">
        <is>
          <t>Description</t>
        </is>
      </c>
      <c r="C4" s="7" t="inlineStr">
        <is>
          <t>Typically Sees / Can Do (draft)</t>
        </is>
      </c>
      <c r="D4" s="7" t="inlineStr">
        <is>
          <t>Status</t>
        </is>
      </c>
      <c r="E4" s="7" t="inlineStr">
        <is>
          <t>Notes</t>
        </is>
      </c>
    </row>
    <row r="5" ht="42" customHeight="1">
      <c r="A5" s="4" t="inlineStr">
        <is>
          <t>Workshop / Trade Staff</t>
        </is>
      </c>
      <c r="B5" s="4" t="inlineStr">
        <is>
          <t>Anyone doing hands-on task work (welding, fabrication, robotics, etc.)</t>
        </is>
      </c>
      <c r="C5" s="4" t="inlineStr">
        <is>
          <t>My Dashboard only — their own open tasks, slider to update %.</t>
        </is>
      </c>
      <c r="D5" s="4" t="inlineStr">
        <is>
          <t>Draft</t>
        </is>
      </c>
      <c r="E5" s="4" t="inlineStr">
        <is>
          <t>Deliberately minimal — the guiding principle is staff shouldn't have to navigate to report status.</t>
        </is>
      </c>
    </row>
    <row r="6" ht="42" customHeight="1">
      <c r="A6" s="4" t="inlineStr">
        <is>
          <t>Team Leader / Production Owner</t>
        </is>
      </c>
      <c r="B6" s="4" t="inlineStr">
        <is>
          <t>Leads a workshop or trade team (e.g. Welding Workshop, Robotics); owns jobs once they reach Production.</t>
        </is>
      </c>
      <c r="C6" s="4" t="inlineStr">
        <is>
          <t>My Dashboard, Team (own crew + pool capacity), job task-line assignment, Robotics approval queue where relevant.</t>
        </is>
      </c>
      <c r="D6" s="4" t="inlineStr">
        <is>
          <t>Draft</t>
        </is>
      </c>
      <c r="E6" s="4" t="inlineStr">
        <is>
          <t>Can delegate their coverage to someone else when on leave (see Delegation feature).</t>
        </is>
      </c>
    </row>
    <row r="7" ht="42" customHeight="1">
      <c r="A7" s="4" t="inlineStr">
        <is>
          <t>Job Coordinator</t>
        </is>
      </c>
      <c r="B7" s="4" t="inlineStr">
        <is>
          <t>Owns a job start to finish through the early/late stages; the main point of contact on a job.</t>
        </is>
      </c>
      <c r="C7" s="4" t="inlineStr">
        <is>
          <t>Job Board (move stages, manage holds, triage BC imports), job detail, BC import.</t>
        </is>
      </c>
      <c r="D7" s="4" t="inlineStr">
        <is>
          <t>Draft</t>
        </is>
      </c>
      <c r="E7" s="4" t="inlineStr">
        <is>
          <t>Overlaps with Production Owner on some jobs — same job can have both roles depending on stage.</t>
        </is>
      </c>
    </row>
    <row r="8" ht="42" customHeight="1">
      <c r="A8" s="4" t="inlineStr">
        <is>
          <t>Manager</t>
        </is>
      </c>
      <c r="B8" s="4" t="inlineStr">
        <is>
          <t>Manages a group of Team Leaders / Coordinators.</t>
        </is>
      </c>
      <c r="C8" s="4" t="inlineStr">
        <is>
          <t>Everything their reports see, plus Team rollup across reports, WIP Meeting, Analytics.</t>
        </is>
      </c>
      <c r="D8" s="4" t="inlineStr">
        <is>
          <t>Draft</t>
        </is>
      </c>
      <c r="E8" s="4" t="inlineStr">
        <is>
          <t>Scoped via a manager relationship so a manager only ever sees their own reports.</t>
        </is>
      </c>
    </row>
    <row r="9" ht="42" customHeight="1">
      <c r="A9" s="4" t="inlineStr">
        <is>
          <t>Admin</t>
        </is>
      </c>
      <c r="B9" s="4" t="inlineStr">
        <is>
          <t>Runs the tool itself — user/employee records, configuration.</t>
        </is>
      </c>
      <c r="C9" s="4" t="inlineStr">
        <is>
          <t>Employees directory, and (not yet built) any future settings/config screens.</t>
        </is>
      </c>
      <c r="D9" s="4" t="inlineStr">
        <is>
          <t>Draft</t>
        </is>
      </c>
      <c r="E9" s="4" t="inlineStr">
        <is>
          <t>Not heavily exercised in the demo yet — flesh out once real config/user-management needs are known.</t>
        </is>
      </c>
    </row>
    <row r="10" ht="42" customHeight="1">
      <c r="A10" s="4" t="inlineStr">
        <is>
          <t>Everyone</t>
        </is>
      </c>
      <c r="B10" s="4" t="inlineStr">
        <is>
          <t>Baseline access every signed-in user gets, regardless of role.</t>
        </is>
      </c>
      <c r="C10" s="4" t="inlineStr">
        <is>
          <t>My Dashboard, All Actions/Register, Getting Started guide.</t>
        </is>
      </c>
      <c r="D10" s="4" t="inlineStr">
        <is>
          <t>Draft</t>
        </is>
      </c>
      <c r="E10" s="4" t="inlineStr">
        <is>
          <t>Think of specific roles as additive on top of this baseline, not replacing it.</t>
        </is>
      </c>
    </row>
  </sheetData>
  <mergeCells count="1">
    <mergeCell ref="A2:E2"/>
  </mergeCells>
  <dataValidations count="1">
    <dataValidation sqref="D5:D200" showDropDown="0" showInputMessage="0" showErrorMessage="0" allowBlank="1" type="list">
      <formula1>"Draft,Confirmed"</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sheetData>
    <row r="1">
      <c r="A1" t="inlineStr">
        <is>
          <t>Type</t>
        </is>
      </c>
      <c r="B1" t="inlineStr">
        <is>
          <t>Area</t>
        </is>
      </c>
      <c r="C1" t="inlineStr">
        <is>
          <t>Status</t>
        </is>
      </c>
      <c r="D1" t="inlineStr">
        <is>
          <t>Priority</t>
        </is>
      </c>
    </row>
    <row r="2">
      <c r="A2" t="inlineStr">
        <is>
          <t>Feature</t>
        </is>
      </c>
      <c r="B2" t="inlineStr">
        <is>
          <t>Job Board</t>
        </is>
      </c>
      <c r="C2" t="inlineStr">
        <is>
          <t>Idea</t>
        </is>
      </c>
      <c r="D2" t="inlineStr">
        <is>
          <t>P0 - Critical</t>
        </is>
      </c>
    </row>
    <row r="3">
      <c r="A3" t="inlineStr">
        <is>
          <t>Enhancement</t>
        </is>
      </c>
      <c r="B3" t="inlineStr">
        <is>
          <t>My Dashboard</t>
        </is>
      </c>
      <c r="C3" t="inlineStr">
        <is>
          <t>Backlog</t>
        </is>
      </c>
      <c r="D3" t="inlineStr">
        <is>
          <t>P1 - High</t>
        </is>
      </c>
    </row>
    <row r="4">
      <c r="A4" t="inlineStr">
        <is>
          <t>Bug Fix</t>
        </is>
      </c>
      <c r="B4" t="inlineStr">
        <is>
          <t>Team / Manager View</t>
        </is>
      </c>
      <c r="C4" t="inlineStr">
        <is>
          <t>Planned</t>
        </is>
      </c>
      <c r="D4" t="inlineStr">
        <is>
          <t>P2 - Medium</t>
        </is>
      </c>
    </row>
    <row r="5">
      <c r="A5" t="inlineStr">
        <is>
          <t>Infrastructure</t>
        </is>
      </c>
      <c r="B5" t="inlineStr">
        <is>
          <t>WIP Meeting</t>
        </is>
      </c>
      <c r="C5" t="inlineStr">
        <is>
          <t>In Progress</t>
        </is>
      </c>
      <c r="D5" t="inlineStr">
        <is>
          <t>P3 - Low</t>
        </is>
      </c>
    </row>
    <row r="6">
      <c r="B6" t="inlineStr">
        <is>
          <t>BC Import</t>
        </is>
      </c>
      <c r="C6" t="inlineStr">
        <is>
          <t>Done</t>
        </is>
      </c>
    </row>
    <row r="7">
      <c r="B7" t="inlineStr">
        <is>
          <t>Delegation</t>
        </is>
      </c>
      <c r="C7" t="inlineStr">
        <is>
          <t>Won't Do</t>
        </is>
      </c>
    </row>
    <row r="8">
      <c r="B8" t="inlineStr">
        <is>
          <t>Action Register</t>
        </is>
      </c>
    </row>
    <row r="9">
      <c r="B9" t="inlineStr">
        <is>
          <t>Analytics</t>
        </is>
      </c>
    </row>
    <row r="10">
      <c r="B10" t="inlineStr">
        <is>
          <t>Employees</t>
        </is>
      </c>
    </row>
    <row r="11">
      <c r="B11" t="inlineStr">
        <is>
          <t>Guide / Onboarding</t>
        </is>
      </c>
    </row>
    <row r="12">
      <c r="B12" t="inlineStr">
        <is>
          <t>Auth</t>
        </is>
      </c>
    </row>
    <row r="13">
      <c r="B13" t="inlineStr">
        <is>
          <t>Infrastructure</t>
        </is>
      </c>
    </row>
    <row r="14">
      <c r="B14" t="inlineStr">
        <is>
          <t>Deployment</t>
        </is>
      </c>
    </row>
    <row r="15">
      <c r="B15" t="inlineStr">
        <is>
          <t>Other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30" customWidth="1" min="2" max="2"/>
    <col width="46" customWidth="1" min="3" max="3"/>
    <col width="13" customWidth="1" min="4" max="4"/>
    <col width="18" customWidth="1" min="5" max="5"/>
    <col width="12" customWidth="1" min="6" max="6"/>
    <col width="13" customWidth="1" min="7" max="7"/>
    <col width="26" customWidth="1" min="8" max="8"/>
    <col width="16" customWidth="1" min="9" max="9"/>
    <col width="12" customWidth="1" min="10" max="10"/>
    <col width="12" customWidth="1" min="11" max="11"/>
    <col width="38" customWidth="1" min="12" max="12"/>
  </cols>
  <sheetData>
    <row r="1">
      <c r="A1" s="5" t="inlineStr">
        <is>
          <t>Features &amp; Backlog</t>
        </is>
      </c>
    </row>
    <row r="2" ht="20" customHeight="1">
      <c r="A2" s="6" t="inlineStr">
        <is>
          <t>Sorted Done first (build history), then Idea/Backlog in rough priority order. Sort/filter freely — it's an Excel Table.</t>
        </is>
      </c>
    </row>
    <row r="4">
      <c r="A4" s="7" t="inlineStr">
        <is>
          <t>ID</t>
        </is>
      </c>
      <c r="B4" s="7" t="inlineStr">
        <is>
          <t>Feature / Idea</t>
        </is>
      </c>
      <c r="C4" s="7" t="inlineStr">
        <is>
          <t>Description</t>
        </is>
      </c>
      <c r="D4" s="7" t="inlineStr">
        <is>
          <t>Type</t>
        </is>
      </c>
      <c r="E4" s="7" t="inlineStr">
        <is>
          <t>Area</t>
        </is>
      </c>
      <c r="F4" s="7" t="inlineStr">
        <is>
          <t>Status</t>
        </is>
      </c>
      <c r="G4" s="7" t="inlineStr">
        <is>
          <t>Priority</t>
        </is>
      </c>
      <c r="H4" s="7" t="inlineStr">
        <is>
          <t>Visible To (Roles)</t>
        </is>
      </c>
      <c r="I4" s="7" t="inlineStr">
        <is>
          <t>Requested By</t>
        </is>
      </c>
      <c r="J4" s="7" t="inlineStr">
        <is>
          <t>Date Added</t>
        </is>
      </c>
      <c r="K4" s="7" t="inlineStr">
        <is>
          <t>Date Shipped</t>
        </is>
      </c>
      <c r="L4" s="7" t="inlineStr">
        <is>
          <t>Notes</t>
        </is>
      </c>
    </row>
    <row r="5" ht="44" customHeight="1">
      <c r="A5" s="4" t="inlineStr">
        <is>
          <t>F001</t>
        </is>
      </c>
      <c r="B5" s="4" t="inlineStr">
        <is>
          <t>Action register</t>
        </is>
      </c>
      <c r="C5" s="4" t="inlineStr">
        <is>
          <t>Company-wide action list (Safety, Quality, Production, Maintenance, Environmental, Training, Other) alongside production jobs, in one register.</t>
        </is>
      </c>
      <c r="D5" s="4" t="inlineStr">
        <is>
          <t>Feature</t>
        </is>
      </c>
      <c r="E5" s="4" t="inlineStr">
        <is>
          <t>Action Register</t>
        </is>
      </c>
      <c r="F5" s="4" t="inlineStr">
        <is>
          <t>Done</t>
        </is>
      </c>
      <c r="G5" s="4" t="inlineStr">
        <is>
          <t>P1 - High</t>
        </is>
      </c>
      <c r="H5" s="4" t="inlineStr">
        <is>
          <t>Everyone</t>
        </is>
      </c>
      <c r="I5" s="4" t="inlineStr">
        <is>
          <t>Initial build</t>
        </is>
      </c>
      <c r="J5" s="4" t="n"/>
      <c r="K5" s="4" t="n"/>
      <c r="L5" s="4" t="inlineStr">
        <is>
          <t>Built prior to this plan — see demo/wip-tracker-demo.html</t>
        </is>
      </c>
    </row>
    <row r="6" ht="44" customHeight="1">
      <c r="A6" s="4" t="inlineStr">
        <is>
          <t>F002</t>
        </is>
      </c>
      <c r="B6" s="4" t="inlineStr">
        <is>
          <t>Job stage Kanban board</t>
        </is>
      </c>
      <c r="C6" s="4" t="inlineStr">
        <is>
          <t>Drag-and-drop board across the full stage lifecycle: Order Received → Engineering → Procurement → Materials Available → Production → NDT/Testing → Documentation → Ready for Dispatch → Complete. Movable either direction (rework goes backward).</t>
        </is>
      </c>
      <c r="D6" s="4" t="inlineStr">
        <is>
          <t>Feature</t>
        </is>
      </c>
      <c r="E6" s="4" t="inlineStr">
        <is>
          <t>Job Board</t>
        </is>
      </c>
      <c r="F6" s="4" t="inlineStr">
        <is>
          <t>Done</t>
        </is>
      </c>
      <c r="G6" s="4" t="inlineStr">
        <is>
          <t>P0 - Critical</t>
        </is>
      </c>
      <c r="H6" s="4" t="inlineStr">
        <is>
          <t>Job Coordinator, Manager</t>
        </is>
      </c>
      <c r="I6" s="4" t="inlineStr">
        <is>
          <t>Initial build</t>
        </is>
      </c>
      <c r="J6" s="4" t="n"/>
      <c r="K6" s="4" t="n"/>
      <c r="L6" s="4" t="inlineStr">
        <is>
          <t>Built prior to this plan — see demo/wip-tracker-demo.html</t>
        </is>
      </c>
    </row>
    <row r="7" ht="44" customHeight="1">
      <c r="A7" s="4" t="inlineStr">
        <is>
          <t>F003</t>
        </is>
      </c>
      <c r="B7" s="4" t="inlineStr">
        <is>
          <t>Task-line model in Production</t>
        </is>
      </c>
      <c r="C7" s="4" t="inlineStr">
        <is>
          <t>Break a job into task lines once it reaches Production: individual staff assignment, Welding Workshop headcount pools, Robotics staff+equipment with a team-leader approval/sign-off workflow.</t>
        </is>
      </c>
      <c r="D7" s="4" t="inlineStr">
        <is>
          <t>Feature</t>
        </is>
      </c>
      <c r="E7" s="4" t="inlineStr">
        <is>
          <t>Job Board</t>
        </is>
      </c>
      <c r="F7" s="4" t="inlineStr">
        <is>
          <t>Done</t>
        </is>
      </c>
      <c r="G7" s="4" t="inlineStr">
        <is>
          <t>P0 - Critical</t>
        </is>
      </c>
      <c r="H7" s="4" t="inlineStr">
        <is>
          <t>Team Leader / Production Owner</t>
        </is>
      </c>
      <c r="I7" s="4" t="inlineStr">
        <is>
          <t>Initial build</t>
        </is>
      </c>
      <c r="J7" s="4" t="n"/>
      <c r="K7" s="4" t="n"/>
      <c r="L7" s="4" t="inlineStr">
        <is>
          <t>Built prior to this plan — see demo/wip-tracker-demo.html</t>
        </is>
      </c>
    </row>
    <row r="8" ht="44" customHeight="1">
      <c r="A8" s="4" t="inlineStr">
        <is>
          <t>F004</t>
        </is>
      </c>
      <c r="B8" s="4" t="inlineStr">
        <is>
          <t>My Dashboard</t>
        </is>
      </c>
      <c r="C8" s="4" t="inlineStr">
        <is>
          <t>"My Actions" (everything assigned to me, completion slider right on the card) plus "Coming To You Next" (jobs where the current task is someone else's but the next one is mine, with expected handover date and risk badge).</t>
        </is>
      </c>
      <c r="D8" s="4" t="inlineStr">
        <is>
          <t>Feature</t>
        </is>
      </c>
      <c r="E8" s="4" t="inlineStr">
        <is>
          <t>My Dashboard</t>
        </is>
      </c>
      <c r="F8" s="4" t="inlineStr">
        <is>
          <t>Done</t>
        </is>
      </c>
      <c r="G8" s="4" t="inlineStr">
        <is>
          <t>P0 - Critical</t>
        </is>
      </c>
      <c r="H8" s="4" t="inlineStr">
        <is>
          <t>Everyone</t>
        </is>
      </c>
      <c r="I8" s="4" t="inlineStr">
        <is>
          <t>Initial build</t>
        </is>
      </c>
      <c r="J8" s="4" t="n"/>
      <c r="K8" s="4" t="n"/>
      <c r="L8" s="4" t="inlineStr">
        <is>
          <t>Built prior to this plan — see demo/wip-tracker-demo.html</t>
        </is>
      </c>
    </row>
    <row r="9" ht="44" customHeight="1">
      <c r="A9" s="4" t="inlineStr">
        <is>
          <t>F005</t>
        </is>
      </c>
      <c r="B9" s="4" t="inlineStr">
        <is>
          <t>Team / Manager view</t>
        </is>
      </c>
      <c r="C9" s="4" t="inlineStr">
        <is>
          <t>One row per direct report or pool, open/overdue/at-risk counts, expandable task list, workshop pool capacity status.</t>
        </is>
      </c>
      <c r="D9" s="4" t="inlineStr">
        <is>
          <t>Feature</t>
        </is>
      </c>
      <c r="E9" s="4" t="inlineStr">
        <is>
          <t>Team / Manager View</t>
        </is>
      </c>
      <c r="F9" s="4" t="inlineStr">
        <is>
          <t>Done</t>
        </is>
      </c>
      <c r="G9" s="4" t="inlineStr">
        <is>
          <t>P1 - High</t>
        </is>
      </c>
      <c r="H9" s="4" t="inlineStr">
        <is>
          <t>Team Leader / Production Owner, Manager</t>
        </is>
      </c>
      <c r="I9" s="4" t="inlineStr">
        <is>
          <t>Initial build</t>
        </is>
      </c>
      <c r="J9" s="4" t="n"/>
      <c r="K9" s="4" t="n"/>
      <c r="L9" s="4" t="inlineStr">
        <is>
          <t>Built prior to this plan — see demo/wip-tracker-demo.html</t>
        </is>
      </c>
    </row>
    <row r="10" ht="44" customHeight="1">
      <c r="A10" s="4" t="inlineStr">
        <is>
          <t>F006</t>
        </is>
      </c>
      <c r="B10" s="4" t="inlineStr">
        <is>
          <t>WIP Meeting view</t>
        </is>
      </c>
      <c r="C10" s="4" t="inlineStr">
        <is>
          <t>Every active job, soonest due date first, current task + assignee visible without opening anything — the view built for the daily production meeting.</t>
        </is>
      </c>
      <c r="D10" s="4" t="inlineStr">
        <is>
          <t>Feature</t>
        </is>
      </c>
      <c r="E10" s="4" t="inlineStr">
        <is>
          <t>WIP Meeting</t>
        </is>
      </c>
      <c r="F10" s="4" t="inlineStr">
        <is>
          <t>Done</t>
        </is>
      </c>
      <c r="G10" s="4" t="inlineStr">
        <is>
          <t>P1 - High</t>
        </is>
      </c>
      <c r="H10" s="4" t="inlineStr">
        <is>
          <t>Manager, Job Coordinator</t>
        </is>
      </c>
      <c r="I10" s="4" t="inlineStr">
        <is>
          <t>Initial build</t>
        </is>
      </c>
      <c r="J10" s="4" t="n"/>
      <c r="K10" s="4" t="n"/>
      <c r="L10" s="4" t="inlineStr">
        <is>
          <t>Built prior to this plan — see demo/wip-tracker-demo.html</t>
        </is>
      </c>
    </row>
    <row r="11" ht="44" customHeight="1">
      <c r="A11" s="4" t="inlineStr">
        <is>
          <t>F007</t>
        </is>
      </c>
      <c r="B11" s="4" t="inlineStr">
        <is>
          <t>Analytics</t>
        </is>
      </c>
      <c r="C11" s="4" t="inlineStr">
        <is>
          <t>Production forecast, due-date-change reasons over time (push vs. pull), and idle-time (gap) reporting.</t>
        </is>
      </c>
      <c r="D11" s="4" t="inlineStr">
        <is>
          <t>Feature</t>
        </is>
      </c>
      <c r="E11" s="4" t="inlineStr">
        <is>
          <t>Analytics</t>
        </is>
      </c>
      <c r="F11" s="4" t="inlineStr">
        <is>
          <t>Done</t>
        </is>
      </c>
      <c r="G11" s="4" t="inlineStr">
        <is>
          <t>P2 - Medium</t>
        </is>
      </c>
      <c r="H11" s="4" t="inlineStr">
        <is>
          <t>Manager</t>
        </is>
      </c>
      <c r="I11" s="4" t="inlineStr">
        <is>
          <t>Initial build</t>
        </is>
      </c>
      <c r="J11" s="4" t="n"/>
      <c r="K11" s="4" t="n"/>
      <c r="L11" s="4" t="inlineStr">
        <is>
          <t>Built prior to this plan — see demo/wip-tracker-demo.html</t>
        </is>
      </c>
    </row>
    <row r="12" ht="44" customHeight="1">
      <c r="A12" s="4" t="inlineStr">
        <is>
          <t>F008</t>
        </is>
      </c>
      <c r="B12" s="4" t="inlineStr">
        <is>
          <t>Employees directory</t>
        </is>
      </c>
      <c r="C12" s="4" t="inlineStr">
        <is>
          <t>Staff list feeding every assignment dropdown in the tool.</t>
        </is>
      </c>
      <c r="D12" s="4" t="inlineStr">
        <is>
          <t>Feature</t>
        </is>
      </c>
      <c r="E12" s="4" t="inlineStr">
        <is>
          <t>Employees</t>
        </is>
      </c>
      <c r="F12" s="4" t="inlineStr">
        <is>
          <t>Done</t>
        </is>
      </c>
      <c r="G12" s="4" t="inlineStr">
        <is>
          <t>P2 - Medium</t>
        </is>
      </c>
      <c r="H12" s="4" t="inlineStr">
        <is>
          <t>Admin, Manager</t>
        </is>
      </c>
      <c r="I12" s="4" t="inlineStr">
        <is>
          <t>Initial build</t>
        </is>
      </c>
      <c r="J12" s="4" t="n"/>
      <c r="K12" s="4" t="n"/>
      <c r="L12" s="4" t="inlineStr">
        <is>
          <t>Built prior to this plan — see demo/wip-tracker-demo.html</t>
        </is>
      </c>
    </row>
    <row r="13" ht="44" customHeight="1">
      <c r="A13" s="4" t="inlineStr">
        <is>
          <t>F009</t>
        </is>
      </c>
      <c r="B13" s="4" t="inlineStr">
        <is>
          <t>In-app Getting Started guide</t>
        </is>
      </c>
      <c r="C13" s="4" t="inlineStr">
        <is>
          <t>First thing a new tester sees — explains the tool, the stage lifecycle, who's meant to look at what, and how to import.</t>
        </is>
      </c>
      <c r="D13" s="4" t="inlineStr">
        <is>
          <t>Feature</t>
        </is>
      </c>
      <c r="E13" s="4" t="inlineStr">
        <is>
          <t>Guide / Onboarding</t>
        </is>
      </c>
      <c r="F13" s="4" t="inlineStr">
        <is>
          <t>Done</t>
        </is>
      </c>
      <c r="G13" s="4" t="inlineStr">
        <is>
          <t>P2 - Medium</t>
        </is>
      </c>
      <c r="H13" s="4" t="inlineStr">
        <is>
          <t>Everyone</t>
        </is>
      </c>
      <c r="I13" s="4" t="inlineStr">
        <is>
          <t>Initial build</t>
        </is>
      </c>
      <c r="J13" s="4" t="n"/>
      <c r="K13" s="4" t="n"/>
      <c r="L13" s="4" t="inlineStr">
        <is>
          <t>Built prior to this plan — see demo/wip-tracker-demo.html</t>
        </is>
      </c>
    </row>
    <row r="14" ht="44" customHeight="1">
      <c r="A14" s="4" t="inlineStr">
        <is>
          <t>F010</t>
        </is>
      </c>
      <c r="B14" s="4" t="inlineStr">
        <is>
          <t>BC import (.xlsx / CSV)</t>
        </is>
      </c>
      <c r="C14" s="4" t="inlineStr">
        <is>
          <t>Upload a real Business Central "Job WIP Worksheet" export (or paste CSV/cells), map columns, upsert jobs by job number. Safe to re-run — a job already in progress never gets rewound.</t>
        </is>
      </c>
      <c r="D14" s="4" t="inlineStr">
        <is>
          <t>Feature</t>
        </is>
      </c>
      <c r="E14" s="4" t="inlineStr">
        <is>
          <t>BC Import</t>
        </is>
      </c>
      <c r="F14" s="4" t="inlineStr">
        <is>
          <t>Done</t>
        </is>
      </c>
      <c r="G14" s="4" t="inlineStr">
        <is>
          <t>P0 - Critical</t>
        </is>
      </c>
      <c r="H14" s="4" t="inlineStr">
        <is>
          <t>Job Coordinator</t>
        </is>
      </c>
      <c r="I14" s="4" t="inlineStr">
        <is>
          <t>Initial build</t>
        </is>
      </c>
      <c r="J14" s="4" t="n"/>
      <c r="K14" s="4" t="n"/>
      <c r="L14" s="4" t="inlineStr">
        <is>
          <t>Built prior to this plan — see demo/wip-tracker-demo.html</t>
        </is>
      </c>
    </row>
    <row r="15" ht="44" customHeight="1">
      <c r="A15" s="4" t="inlineStr">
        <is>
          <t>F011</t>
        </is>
      </c>
      <c r="B15" s="4" t="inlineStr">
        <is>
          <t>In-browser .xlsx parser</t>
        </is>
      </c>
      <c r="C15" s="4" t="inlineStr">
        <is>
          <t>Hand-rolled ZIP + XML reader with zero external libraries (browser-native DEFLATE decompression). Fixed to read BC's real export correctly — its worksheet XML uses a namespace-prefixed root that a naive parser silently fails on.</t>
        </is>
      </c>
      <c r="D15" s="4" t="inlineStr">
        <is>
          <t>Infrastructure</t>
        </is>
      </c>
      <c r="E15" s="4" t="inlineStr">
        <is>
          <t>BC Import</t>
        </is>
      </c>
      <c r="F15" s="4" t="inlineStr">
        <is>
          <t>Done</t>
        </is>
      </c>
      <c r="G15" s="4" t="inlineStr">
        <is>
          <t>P0 - Critical</t>
        </is>
      </c>
      <c r="H15" s="4" t="n"/>
      <c r="I15" s="4" t="inlineStr">
        <is>
          <t>Initial build</t>
        </is>
      </c>
      <c r="J15" s="4" t="n"/>
      <c r="K15" s="4" t="n"/>
      <c r="L15" s="4" t="inlineStr">
        <is>
          <t>Root-caused against a real scrubbed BC export file, not a synthetic one.</t>
        </is>
      </c>
    </row>
    <row r="16" ht="44" customHeight="1">
      <c r="A16" s="4" t="inlineStr">
        <is>
          <t>F012</t>
        </is>
      </c>
      <c r="B16" s="4" t="inlineStr">
        <is>
          <t>Delegation (live coverage)</t>
        </is>
      </c>
      <c r="C16" s="4" t="inlineStr">
        <is>
          <t>A team leader going on leave hands coverage to someone else (themself, another leader, or an employee stepping up). That person's actual open tasks, actions and owned jobs appear live on the delegate's dashboard, tagged "Covering for…", and disappear the moment the delegation ends — nothing manually reassigned.</t>
        </is>
      </c>
      <c r="D16" s="4" t="inlineStr">
        <is>
          <t>Feature</t>
        </is>
      </c>
      <c r="E16" s="4" t="inlineStr">
        <is>
          <t>Delegation</t>
        </is>
      </c>
      <c r="F16" s="4" t="inlineStr">
        <is>
          <t>Done</t>
        </is>
      </c>
      <c r="G16" s="4" t="inlineStr">
        <is>
          <t>P1 - High</t>
        </is>
      </c>
      <c r="H16" s="4" t="inlineStr">
        <is>
          <t>Team Leader / Production Owner, Manager</t>
        </is>
      </c>
      <c r="I16" s="4" t="inlineStr">
        <is>
          <t>Ashley</t>
        </is>
      </c>
      <c r="J16" s="4" t="n"/>
      <c r="K16" s="4" t="n"/>
      <c r="L16" s="4" t="inlineStr">
        <is>
          <t>Reworked mid-build — first version only granted extra authority without moving the actual work; corrected per feedback.</t>
        </is>
      </c>
    </row>
    <row r="17" ht="44" customHeight="1">
      <c r="A17" s="4" t="inlineStr">
        <is>
          <t>F013</t>
        </is>
      </c>
      <c r="B17" s="4" t="inlineStr">
        <is>
          <t>BC import task-line triage</t>
        </is>
      </c>
      <c r="C17" s="4" t="inlineStr">
        <is>
          <t>BC's task lines are generic, not job-specific, so an import queues candidate task lines instead of creating them directly. A job sits in a "Needs triage" panel until the coordinator/production owner selects what applies; rejected candidates are remembered so a re-import never brings them back.</t>
        </is>
      </c>
      <c r="D17" s="4" t="inlineStr">
        <is>
          <t>Feature</t>
        </is>
      </c>
      <c r="E17" s="4" t="inlineStr">
        <is>
          <t>BC Import</t>
        </is>
      </c>
      <c r="F17" s="4" t="inlineStr">
        <is>
          <t>Done</t>
        </is>
      </c>
      <c r="G17" s="4" t="inlineStr">
        <is>
          <t>P1 - High</t>
        </is>
      </c>
      <c r="H17" s="4" t="inlineStr">
        <is>
          <t>Job Coordinator, Team Leader / Production Owner</t>
        </is>
      </c>
      <c r="I17" s="4" t="inlineStr">
        <is>
          <t>Ashley</t>
        </is>
      </c>
      <c r="J17" s="4" t="n"/>
      <c r="K17" s="4" t="n"/>
      <c r="L17" s="4" t="inlineStr">
        <is>
          <t>Built prior to this plan — see demo/wip-tracker-demo.html</t>
        </is>
      </c>
    </row>
    <row r="18" ht="44" customHeight="1">
      <c r="A18" s="4" t="inlineStr">
        <is>
          <t>F014</t>
        </is>
      </c>
      <c r="B18" s="4" t="inlineStr">
        <is>
          <t>Removed native browser dialogs</t>
        </is>
      </c>
      <c r="C18" s="4" t="inlineStr">
        <is>
          <t>Replaced every alert()/confirm() with in-page state-driven UI. Root cause of a real reported bug — the artifact's sandboxed iframe silently no-ops native dialogs, which made import look like it was doing nothing.</t>
        </is>
      </c>
      <c r="D18" s="4" t="inlineStr">
        <is>
          <t>Bug Fix</t>
        </is>
      </c>
      <c r="E18" s="4" t="inlineStr">
        <is>
          <t>Infrastructure</t>
        </is>
      </c>
      <c r="F18" s="4" t="inlineStr">
        <is>
          <t>Done</t>
        </is>
      </c>
      <c r="G18" s="4" t="inlineStr">
        <is>
          <t>P0 - Critical</t>
        </is>
      </c>
      <c r="H18" s="4" t="n"/>
      <c r="I18" s="4" t="inlineStr">
        <is>
          <t>Ashley</t>
        </is>
      </c>
      <c r="J18" s="4" t="n"/>
      <c r="K18" s="4" t="n"/>
      <c r="L18" s="4" t="inlineStr">
        <is>
          <t>Confirmed via Playwright by reproducing the exact sandboxed-iframe behavior.</t>
        </is>
      </c>
    </row>
    <row r="19" ht="44" customHeight="1">
      <c r="A19" s="4" t="inlineStr">
        <is>
          <t>F015</t>
        </is>
      </c>
      <c r="B19" s="4" t="inlineStr">
        <is>
          <t>Modal scroll-position fix</t>
        </is>
      </c>
      <c r="C19" s="4" t="inlineStr">
        <is>
          <t>Fixed a bug where any click that re-renders while a modal is open (e.g. editing a task's expected date) reset the modal's scroll to the top. Fixed centrally so it covers every modal interaction, not just the one reported button.</t>
        </is>
      </c>
      <c r="D19" s="4" t="inlineStr">
        <is>
          <t>Bug Fix</t>
        </is>
      </c>
      <c r="E19" s="4" t="inlineStr">
        <is>
          <t>Infrastructure</t>
        </is>
      </c>
      <c r="F19" s="4" t="inlineStr">
        <is>
          <t>Done</t>
        </is>
      </c>
      <c r="G19" s="4" t="inlineStr">
        <is>
          <t>P2 - Medium</t>
        </is>
      </c>
      <c r="H19" s="4" t="n"/>
      <c r="I19" s="4" t="inlineStr">
        <is>
          <t>Ashley</t>
        </is>
      </c>
      <c r="J19" s="4" t="n"/>
      <c r="K19" s="4" t="n"/>
      <c r="L19" s="4" t="inlineStr">
        <is>
          <t>Built prior to this plan — see demo/wip-tracker-demo.html</t>
        </is>
      </c>
    </row>
    <row r="20" ht="44" customHeight="1">
      <c r="A20" s="4" t="inlineStr">
        <is>
          <t>F016</t>
        </is>
      </c>
      <c r="B20" s="4" t="inlineStr">
        <is>
          <t>Job hold tracking</t>
        </is>
      </c>
      <c r="C20" s="4" t="inlineStr">
        <is>
          <t>Flag a job on hold with a category (Material, Client Info, Engineering, etc.) and a free-text reason, visible on the board.</t>
        </is>
      </c>
      <c r="D20" s="4" t="inlineStr">
        <is>
          <t>Feature</t>
        </is>
      </c>
      <c r="E20" s="4" t="inlineStr">
        <is>
          <t>Job Board</t>
        </is>
      </c>
      <c r="F20" s="4" t="inlineStr">
        <is>
          <t>Done</t>
        </is>
      </c>
      <c r="G20" s="4" t="inlineStr">
        <is>
          <t>P2 - Medium</t>
        </is>
      </c>
      <c r="H20" s="4" t="inlineStr">
        <is>
          <t>Job Coordinator</t>
        </is>
      </c>
      <c r="I20" s="4" t="inlineStr">
        <is>
          <t>Initial build</t>
        </is>
      </c>
      <c r="J20" s="4" t="n"/>
      <c r="K20" s="4" t="n"/>
      <c r="L20" s="4" t="inlineStr">
        <is>
          <t>Built prior to this plan — see demo/wip-tracker-demo.html</t>
        </is>
      </c>
    </row>
    <row r="21" ht="44" customHeight="1">
      <c r="A21" s="4" t="inlineStr">
        <is>
          <t>F017</t>
        </is>
      </c>
      <c r="B21" s="4" t="inlineStr">
        <is>
          <t>All Actions / Register table</t>
        </is>
      </c>
      <c r="C21" s="4" t="inlineStr">
        <is>
          <t>One filterable, sortable table of literally everything — production and non-production — for anyone who wants the flat view instead of the board.</t>
        </is>
      </c>
      <c r="D21" s="4" t="inlineStr">
        <is>
          <t>Feature</t>
        </is>
      </c>
      <c r="E21" s="4" t="inlineStr">
        <is>
          <t>Action Register</t>
        </is>
      </c>
      <c r="F21" s="4" t="inlineStr">
        <is>
          <t>Done</t>
        </is>
      </c>
      <c r="G21" s="4" t="inlineStr">
        <is>
          <t>P2 - Medium</t>
        </is>
      </c>
      <c r="H21" s="4" t="inlineStr">
        <is>
          <t>Everyone</t>
        </is>
      </c>
      <c r="I21" s="4" t="inlineStr">
        <is>
          <t>Initial build</t>
        </is>
      </c>
      <c r="J21" s="4" t="n"/>
      <c r="K21" s="4" t="n"/>
      <c r="L21" s="4" t="inlineStr">
        <is>
          <t>Built prior to this plan — see demo/wip-tracker-demo.html</t>
        </is>
      </c>
    </row>
    <row r="22" ht="44" customHeight="1">
      <c r="A22" s="4" t="inlineStr">
        <is>
          <t>F018</t>
        </is>
      </c>
      <c r="B22" s="4" t="inlineStr">
        <is>
          <t>Per-browser local persistence</t>
        </is>
      </c>
      <c r="C22" s="4" t="inlineStr">
        <is>
          <t>State is saved to localStorage so a tester's data survives closing/reopening the tab. No server, no database yet — each tester's data is private to their own browser.</t>
        </is>
      </c>
      <c r="D22" s="4" t="inlineStr">
        <is>
          <t>Infrastructure</t>
        </is>
      </c>
      <c r="E22" s="4" t="inlineStr">
        <is>
          <t>Infrastructure</t>
        </is>
      </c>
      <c r="F22" s="4" t="inlineStr">
        <is>
          <t>Done</t>
        </is>
      </c>
      <c r="G22" s="4" t="inlineStr">
        <is>
          <t>P1 - High</t>
        </is>
      </c>
      <c r="H22" s="4" t="n"/>
      <c r="I22" s="4" t="inlineStr">
        <is>
          <t>Initial build</t>
        </is>
      </c>
      <c r="J22" s="4" t="n"/>
      <c r="K22" s="4" t="n"/>
      <c r="L22" s="4" t="inlineStr">
        <is>
          <t>By design for this prototype phase — see "Reconcile data model" below for what replaces it.</t>
        </is>
      </c>
    </row>
    <row r="23" ht="44" customHeight="1">
      <c r="A23" s="4" t="inlineStr">
        <is>
          <t>F019</t>
        </is>
      </c>
      <c r="B23" s="4" t="inlineStr">
        <is>
          <t>Real backend scaffold (separate track)</t>
        </is>
      </c>
      <c r="C23" s="4" t="inlineStr">
        <is>
          <t>Express + Prisma + React/Vite implementation exists in server/ and client/ with its own data model (User, Job, Task, DueDateChangeLog, TaskEvent, IdleGap) and API — built before the demo prototype, not yet reconciled with it.</t>
        </is>
      </c>
      <c r="D23" s="4" t="inlineStr">
        <is>
          <t>Infrastructure</t>
        </is>
      </c>
      <c r="E23" s="4" t="inlineStr">
        <is>
          <t>Infrastructure</t>
        </is>
      </c>
      <c r="F23" s="4" t="inlineStr">
        <is>
          <t>Done</t>
        </is>
      </c>
      <c r="G23" s="4" t="inlineStr">
        <is>
          <t>P1 - High</t>
        </is>
      </c>
      <c r="H23" s="4" t="n"/>
      <c r="I23" s="4" t="inlineStr">
        <is>
          <t>Initial build</t>
        </is>
      </c>
      <c r="J23" s="4" t="n"/>
      <c r="K23" s="4" t="n"/>
      <c r="L23" s="4" t="inlineStr">
        <is>
          <t>See server/README.md and demo/README.md — the two data models diverge on purpose and need a deliberate reconciliation pass, not an assumption either one just wins.</t>
        </is>
      </c>
    </row>
    <row r="24" ht="44" customHeight="1">
      <c r="A24" s="4" t="inlineStr">
        <is>
          <t>F020</t>
        </is>
      </c>
      <c r="B24" s="4" t="inlineStr">
        <is>
          <t>Reconcile demo vs. production data model</t>
        </is>
      </c>
      <c r="C24" s="4" t="inlineStr">
        <is>
          <t>Decide, feature by feature, which parts of the demo prototype's data model (action register, full stage lifecycle, delegation, triage) get built into the real server/Prisma schema, and rebuild the frontend against the real API.</t>
        </is>
      </c>
      <c r="D24" s="4" t="inlineStr">
        <is>
          <t>Feature</t>
        </is>
      </c>
      <c r="E24" s="4" t="inlineStr">
        <is>
          <t>Infrastructure</t>
        </is>
      </c>
      <c r="F24" s="4" t="inlineStr">
        <is>
          <t>Backlog</t>
        </is>
      </c>
      <c r="G24" s="4" t="inlineStr">
        <is>
          <t>P0 - Critical</t>
        </is>
      </c>
      <c r="H24" s="4" t="n"/>
      <c r="I24" s="4" t="n"/>
      <c r="J24" s="4" t="n"/>
      <c r="K24" s="4" t="n"/>
      <c r="L24" s="4" t="inlineStr">
        <is>
          <t>Prerequisite for moving off the per-browser demo onto something shared/real.</t>
        </is>
      </c>
    </row>
    <row r="25" ht="44" customHeight="1">
      <c r="A25" s="4" t="inlineStr">
        <is>
          <t>F021</t>
        </is>
      </c>
      <c r="B25" s="4" t="inlineStr">
        <is>
          <t>Real sign-in (SSO)</t>
        </is>
      </c>
      <c r="C25" s="4" t="inlineStr">
        <is>
          <t>Replace the dev "type a known email" login with the company's actual identity provider before the tool holds any real client/job data.</t>
        </is>
      </c>
      <c r="D25" s="4" t="inlineStr">
        <is>
          <t>Feature</t>
        </is>
      </c>
      <c r="E25" s="4" t="inlineStr">
        <is>
          <t>Auth</t>
        </is>
      </c>
      <c r="F25" s="4" t="inlineStr">
        <is>
          <t>Backlog</t>
        </is>
      </c>
      <c r="G25" s="4" t="inlineStr">
        <is>
          <t>P0 - Critical</t>
        </is>
      </c>
      <c r="H25" s="4" t="n"/>
      <c r="I25" s="4" t="n"/>
      <c r="J25" s="4" t="n"/>
      <c r="K25" s="4" t="n"/>
      <c r="L25" s="4" t="inlineStr">
        <is>
          <t>Likely SharePoint/Entra ID SSO, per the planned SharePoint hosting.</t>
        </is>
      </c>
    </row>
    <row r="26" ht="44" customHeight="1">
      <c r="A26" s="4" t="inlineStr">
        <is>
          <t>F022</t>
        </is>
      </c>
      <c r="B26" s="4" t="inlineStr">
        <is>
          <t>Host on SharePoint</t>
        </is>
      </c>
      <c r="C26" s="4" t="inlineStr">
        <is>
          <t>Stand up the real (non-demo) tool on SharePoint so the team works from one shared copy instead of individual browser sandboxes.</t>
        </is>
      </c>
      <c r="D26" s="4" t="inlineStr">
        <is>
          <t>Feature</t>
        </is>
      </c>
      <c r="E26" s="4" t="inlineStr">
        <is>
          <t>Deployment</t>
        </is>
      </c>
      <c r="F26" s="4" t="inlineStr">
        <is>
          <t>Backlog</t>
        </is>
      </c>
      <c r="G26" s="4" t="inlineStr">
        <is>
          <t>P0 - Critical</t>
        </is>
      </c>
      <c r="H26" s="4" t="n"/>
      <c r="I26" s="4" t="n"/>
      <c r="J26" s="4" t="n"/>
      <c r="K26" s="4" t="n"/>
      <c r="L26" s="4" t="inlineStr">
        <is>
          <t>Mentioned as the near-term plan — work is expected to move to GitHub-based development ahead of this.</t>
        </is>
      </c>
    </row>
    <row r="27" ht="44" customHeight="1">
      <c r="A27" s="4" t="inlineStr">
        <is>
          <t>F023</t>
        </is>
      </c>
      <c r="B27" s="4" t="inlineStr">
        <is>
          <t>Notifications</t>
        </is>
      </c>
      <c r="C27" s="4" t="inlineStr">
        <is>
          <t>A daily digest (email/Teams) of what's overdue or handing over today, so the dashboard isn't the only place this surfaces.</t>
        </is>
      </c>
      <c r="D27" s="4" t="inlineStr">
        <is>
          <t>Feature</t>
        </is>
      </c>
      <c r="E27" s="4" t="inlineStr">
        <is>
          <t>Infrastructure</t>
        </is>
      </c>
      <c r="F27" s="4" t="inlineStr">
        <is>
          <t>Idea</t>
        </is>
      </c>
      <c r="G27" s="4" t="inlineStr">
        <is>
          <t>P2 - Medium</t>
        </is>
      </c>
      <c r="H27" s="4" t="inlineStr">
        <is>
          <t>Everyone</t>
        </is>
      </c>
      <c r="I27" s="4" t="n"/>
      <c r="J27" s="4" t="n"/>
      <c r="K27" s="4" t="n"/>
      <c r="L27" s="4" t="inlineStr">
        <is>
          <t>Carried over from server/README.md suggested next features.</t>
        </is>
      </c>
    </row>
    <row r="28" ht="44" customHeight="1">
      <c r="A28" s="4" t="inlineStr">
        <is>
          <t>F024</t>
        </is>
      </c>
      <c r="B28" s="4" t="inlineStr">
        <is>
          <t>BC write-back</t>
        </is>
      </c>
      <c r="C28" s="4" t="inlineStr">
        <is>
          <t>Once a job's tasks are all complete, optionally post a status/% back to Business Central so the two systems don't diverge.</t>
        </is>
      </c>
      <c r="D28" s="4" t="inlineStr">
        <is>
          <t>Feature</t>
        </is>
      </c>
      <c r="E28" s="4" t="inlineStr">
        <is>
          <t>BC Import</t>
        </is>
      </c>
      <c r="F28" s="4" t="inlineStr">
        <is>
          <t>Idea</t>
        </is>
      </c>
      <c r="G28" s="4" t="inlineStr">
        <is>
          <t>P2 - Medium</t>
        </is>
      </c>
      <c r="H28" s="4" t="n"/>
      <c r="I28" s="4" t="n"/>
      <c r="J28" s="4" t="n"/>
      <c r="K28" s="4" t="n"/>
      <c r="L28" s="4" t="inlineStr">
        <is>
          <t>Carried over from server/README.md suggested next features.</t>
        </is>
      </c>
    </row>
    <row r="29" ht="44" customHeight="1">
      <c r="A29" s="4" t="inlineStr">
        <is>
          <t>F025</t>
        </is>
      </c>
      <c r="B29" s="4" t="inlineStr">
        <is>
          <t>Mobile-friendly My Dashboard</t>
        </is>
      </c>
      <c r="C29" s="4" t="inlineStr">
        <is>
          <t>A mobile-friendly view of "My Actions" specifically — the screen staff will open most, often not at a desk.</t>
        </is>
      </c>
      <c r="D29" s="4" t="inlineStr">
        <is>
          <t>Enhancement</t>
        </is>
      </c>
      <c r="E29" s="4" t="inlineStr">
        <is>
          <t>My Dashboard</t>
        </is>
      </c>
      <c r="F29" s="4" t="inlineStr">
        <is>
          <t>Idea</t>
        </is>
      </c>
      <c r="G29" s="4" t="inlineStr">
        <is>
          <t>P2 - Medium</t>
        </is>
      </c>
      <c r="H29" s="4" t="inlineStr">
        <is>
          <t>Workshop / Trade Staff</t>
        </is>
      </c>
      <c r="I29" s="4" t="n"/>
      <c r="J29" s="4" t="n"/>
      <c r="K29" s="4" t="n"/>
      <c r="L29" s="4" t="inlineStr">
        <is>
          <t>Carried over from server/README.md suggested next features.</t>
        </is>
      </c>
    </row>
    <row r="30" ht="44" customHeight="1">
      <c r="A30" s="4" t="inlineStr">
        <is>
          <t>F026</t>
        </is>
      </c>
      <c r="B30" s="4" t="inlineStr">
        <is>
          <t>Capacity view</t>
        </is>
      </c>
      <c r="C30" s="4" t="inlineStr">
        <is>
          <t>Alongside open-task counts, a rough hours-remaining estimate per person — task count alone doesn't distinguish a 20-minute task from a two-week one.</t>
        </is>
      </c>
      <c r="D30" s="4" t="inlineStr">
        <is>
          <t>Feature</t>
        </is>
      </c>
      <c r="E30" s="4" t="inlineStr">
        <is>
          <t>Team / Manager View</t>
        </is>
      </c>
      <c r="F30" s="4" t="inlineStr">
        <is>
          <t>Idea</t>
        </is>
      </c>
      <c r="G30" s="4" t="inlineStr">
        <is>
          <t>P3 - Low</t>
        </is>
      </c>
      <c r="H30" s="4" t="inlineStr">
        <is>
          <t>Team Leader / Production Owner, Manager</t>
        </is>
      </c>
      <c r="I30" s="4" t="n"/>
      <c r="J30" s="4" t="n"/>
      <c r="K30" s="4" t="n"/>
      <c r="L30" s="4" t="inlineStr">
        <is>
          <t>Carried over from server/README.md suggested next features.</t>
        </is>
      </c>
    </row>
    <row r="31" ht="44" customHeight="1">
      <c r="A31" s="4" t="inlineStr">
        <is>
          <t>F027</t>
        </is>
      </c>
      <c r="B31" s="4" t="inlineStr">
        <is>
          <t>Comments/mentions on a task</t>
        </is>
      </c>
      <c r="C31" s="4" t="inlineStr">
        <is>
          <t>A quick note on a task (e.g. "waiting on you to check X") for the handful of times that's genuinely useful — kept optional so it doesn't become another data-entry chore.</t>
        </is>
      </c>
      <c r="D31" s="4" t="inlineStr">
        <is>
          <t>Feature</t>
        </is>
      </c>
      <c r="E31" s="4" t="inlineStr">
        <is>
          <t>My Dashboard</t>
        </is>
      </c>
      <c r="F31" s="4" t="inlineStr">
        <is>
          <t>Idea</t>
        </is>
      </c>
      <c r="G31" s="4" t="inlineStr">
        <is>
          <t>P3 - Low</t>
        </is>
      </c>
      <c r="H31" s="4" t="inlineStr">
        <is>
          <t>Everyone</t>
        </is>
      </c>
      <c r="I31" s="4" t="n"/>
      <c r="J31" s="4" t="n"/>
      <c r="K31" s="4" t="n"/>
      <c r="L31" s="4" t="inlineStr">
        <is>
          <t>Carried over from server/README.md suggested next features.</t>
        </is>
      </c>
    </row>
  </sheetData>
  <mergeCells count="1">
    <mergeCell ref="A2:L2"/>
  </mergeCells>
  <conditionalFormatting sqref="F5:F31">
    <cfRule type="cellIs" priority="1" operator="equal" dxfId="0">
      <formula>"Done"</formula>
    </cfRule>
    <cfRule type="cellIs" priority="2" operator="equal" dxfId="1">
      <formula>"In Progress"</formula>
    </cfRule>
    <cfRule type="cellIs" priority="3" operator="equal" dxfId="2">
      <formula>"Planned"</formula>
    </cfRule>
    <cfRule type="cellIs" priority="4" operator="equal" dxfId="3">
      <formula>"Backlog"</formula>
    </cfRule>
    <cfRule type="cellIs" priority="5" operator="equal" dxfId="4">
      <formula>"Idea"</formula>
    </cfRule>
    <cfRule type="cellIs" priority="6" operator="equal" dxfId="5">
      <formula>"Won't Do"</formula>
    </cfRule>
  </conditionalFormatting>
  <conditionalFormatting sqref="G5:G31">
    <cfRule type="cellIs" priority="7" operator="equal" dxfId="6">
      <formula>"P0 - Critical"</formula>
    </cfRule>
    <cfRule type="cellIs" priority="8" operator="equal" dxfId="7">
      <formula>"P1 - High"</formula>
    </cfRule>
    <cfRule type="cellIs" priority="9" operator="equal" dxfId="8">
      <formula>"P2 - Medium"</formula>
    </cfRule>
    <cfRule type="cellIs" priority="10" operator="equal" dxfId="9">
      <formula>"P3 - Low"</formula>
    </cfRule>
  </conditionalFormatting>
  <dataValidations count="4">
    <dataValidation sqref="D5:D500" showDropDown="0" showInputMessage="0" showErrorMessage="0" allowBlank="1" type="list">
      <formula1>=Lists!$A$2:$A$5</formula1>
    </dataValidation>
    <dataValidation sqref="E5:E500" showDropDown="0" showInputMessage="0" showErrorMessage="0" allowBlank="1" type="list">
      <formula1>=Lists!$B$2:$B$15</formula1>
    </dataValidation>
    <dataValidation sqref="F5:F500" showDropDown="0" showInputMessage="0" showErrorMessage="0" allowBlank="1" type="list">
      <formula1>=Lists!$C$2:$C$7</formula1>
    </dataValidation>
    <dataValidation sqref="G5:G500" showDropDown="0" showInputMessage="0" showErrorMessage="0" allowBlank="1" type="list">
      <formula1>=Lists!$D$2:$D$5</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B2:F15"/>
  <sheetViews>
    <sheetView showGridLines="0" workbookViewId="0">
      <selection activeCell="A1" sqref="A1"/>
    </sheetView>
  </sheetViews>
  <sheetFormatPr baseColWidth="8" defaultRowHeight="15"/>
  <cols>
    <col width="3" customWidth="1" min="1" max="1"/>
    <col width="24" customWidth="1" min="2" max="2"/>
    <col width="12" customWidth="1" min="3" max="3"/>
    <col width="3" customWidth="1" min="4" max="4"/>
    <col width="24" customWidth="1" min="5" max="5"/>
    <col width="12" customWidth="1" min="6" max="6"/>
  </cols>
  <sheetData>
    <row r="2">
      <c r="B2" s="1" t="inlineStr">
        <is>
          <t>Summary</t>
        </is>
      </c>
    </row>
    <row r="3">
      <c r="B3" s="6" t="inlineStr">
        <is>
          <t>Counts pull live from Features &amp; Backlog — nothing to update by hand.</t>
        </is>
      </c>
    </row>
    <row r="5">
      <c r="B5" s="3" t="inlineStr">
        <is>
          <t>By Status</t>
        </is>
      </c>
      <c r="E5" s="3" t="inlineStr">
        <is>
          <t>By Priority</t>
        </is>
      </c>
    </row>
    <row r="6">
      <c r="B6" s="8" t="inlineStr">
        <is>
          <t>Idea</t>
        </is>
      </c>
      <c r="C6" s="9">
        <f>COUNTIF('Features &amp; Backlog'!$F$5:$F$31,B6)</f>
        <v/>
      </c>
      <c r="E6" s="8" t="inlineStr">
        <is>
          <t>P0 - Critical</t>
        </is>
      </c>
      <c r="F6" s="9">
        <f>COUNTIF('Features &amp; Backlog'!$G$5:$G$31,E6)</f>
        <v/>
      </c>
    </row>
    <row r="7">
      <c r="B7" s="8" t="inlineStr">
        <is>
          <t>Backlog</t>
        </is>
      </c>
      <c r="C7" s="9">
        <f>COUNTIF('Features &amp; Backlog'!$F$5:$F$31,B7)</f>
        <v/>
      </c>
      <c r="E7" s="8" t="inlineStr">
        <is>
          <t>P1 - High</t>
        </is>
      </c>
      <c r="F7" s="9">
        <f>COUNTIF('Features &amp; Backlog'!$G$5:$G$31,E7)</f>
        <v/>
      </c>
    </row>
    <row r="8">
      <c r="B8" s="8" t="inlineStr">
        <is>
          <t>Planned</t>
        </is>
      </c>
      <c r="C8" s="9">
        <f>COUNTIF('Features &amp; Backlog'!$F$5:$F$31,B8)</f>
        <v/>
      </c>
      <c r="E8" s="8" t="inlineStr">
        <is>
          <t>P2 - Medium</t>
        </is>
      </c>
      <c r="F8" s="9">
        <f>COUNTIF('Features &amp; Backlog'!$G$5:$G$31,E8)</f>
        <v/>
      </c>
    </row>
    <row r="9">
      <c r="B9" s="8" t="inlineStr">
        <is>
          <t>In Progress</t>
        </is>
      </c>
      <c r="C9" s="9">
        <f>COUNTIF('Features &amp; Backlog'!$F$5:$F$31,B9)</f>
        <v/>
      </c>
      <c r="E9" s="8" t="inlineStr">
        <is>
          <t>P3 - Low</t>
        </is>
      </c>
      <c r="F9" s="9">
        <f>COUNTIF('Features &amp; Backlog'!$G$5:$G$31,E9)</f>
        <v/>
      </c>
    </row>
    <row r="10">
      <c r="B10" s="8" t="inlineStr">
        <is>
          <t>Done</t>
        </is>
      </c>
      <c r="C10" s="9">
        <f>COUNTIF('Features &amp; Backlog'!$F$5:$F$31,B10)</f>
        <v/>
      </c>
      <c r="E10" s="10" t="inlineStr">
        <is>
          <t>Total</t>
        </is>
      </c>
      <c r="F10" s="10">
        <f>SUM(F6:F9)</f>
        <v/>
      </c>
    </row>
    <row r="11">
      <c r="B11" s="8" t="inlineStr">
        <is>
          <t>Won't Do</t>
        </is>
      </c>
      <c r="C11" s="9">
        <f>COUNTIF('Features &amp; Backlog'!$F$5:$F$31,B11)</f>
        <v/>
      </c>
    </row>
    <row r="12">
      <c r="B12" s="10" t="inlineStr">
        <is>
          <t>Total</t>
        </is>
      </c>
      <c r="C12" s="10">
        <f>SUM(C6:C11)</f>
        <v/>
      </c>
    </row>
    <row r="14">
      <c r="B14" s="8" t="inlineStr">
        <is>
          <t>Not yet started (Idea + Backlog + Planned)</t>
        </is>
      </c>
      <c r="C14" s="9">
        <f>C6+C7+C8</f>
        <v/>
      </c>
    </row>
    <row r="15">
      <c r="B15" s="8" t="inlineStr">
        <is>
          <t>% complete (Done ÷ Total)</t>
        </is>
      </c>
      <c r="C15" s="11">
        <f>C10/C12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2026-08-27T21:48:50Z</dcterms:created>
  <dcterms:modified xsi:type="dcterms:W3CDTF">2026-08-27T21:48:50Z</dcterms:modified>
</cp:coreProperties>
</file>